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D:\工具\"/>
    </mc:Choice>
  </mc:AlternateContent>
  <xr:revisionPtr revIDLastSave="0" documentId="13_ncr:1_{F416F8F0-6CCB-42FF-BAB5-CD6C6D9749CB}" xr6:coauthVersionLast="47" xr6:coauthVersionMax="47" xr10:uidLastSave="{00000000-0000-0000-0000-000000000000}"/>
  <bookViews>
    <workbookView xWindow="-120" yWindow="-120" windowWidth="29040" windowHeight="15720" xr2:uid="{01155433-C244-4EA2-9E1A-B9706F596837}"/>
  </bookViews>
  <sheets>
    <sheet name="清冊" sheetId="1" r:id="rId1"/>
    <sheet name="說明" sheetId="2" r:id="rId2"/>
    <sheet name="模板區(勿動)" sheetId="3" r:id="rId3"/>
  </sheets>
  <definedNames>
    <definedName name="MyTemplate">'模板區(勿動)'!$A$1:$H$7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1" l="1"/>
  <c r="F13" i="1"/>
  <c r="D13" i="1"/>
  <c r="G13" i="1" s="1"/>
  <c r="F12" i="1"/>
  <c r="D12" i="1"/>
  <c r="G12" i="1" s="1"/>
  <c r="D11" i="1"/>
  <c r="F10" i="1"/>
  <c r="D10" i="1"/>
  <c r="D14" i="1" s="1"/>
  <c r="C4" i="1"/>
  <c r="C7" i="3"/>
  <c r="F5" i="3"/>
  <c r="F6" i="3"/>
  <c r="D4" i="1"/>
  <c r="B6" i="1" s="1"/>
  <c r="G10" i="1" l="1"/>
  <c r="D3" i="3"/>
  <c r="G3" i="3" s="1"/>
  <c r="D6" i="3"/>
  <c r="G6" i="3" s="1"/>
  <c r="D5" i="3"/>
  <c r="G5" i="3" s="1"/>
  <c r="D4" i="3"/>
  <c r="F3" i="3"/>
  <c r="D7" i="3" l="1"/>
  <c r="D6" i="1"/>
  <c r="E6" i="1" s="1"/>
  <c r="F11" i="1" s="1"/>
  <c r="F4" i="3" l="1"/>
</calcChain>
</file>

<file path=xl/sharedStrings.xml><?xml version="1.0" encoding="utf-8"?>
<sst xmlns="http://schemas.openxmlformats.org/spreadsheetml/2006/main" count="60" uniqueCount="39">
  <si>
    <t>地號</t>
  </si>
  <si>
    <t>基本費</t>
  </si>
  <si>
    <t>施測費</t>
  </si>
  <si>
    <t>合計</t>
  </si>
  <si>
    <t>法院確定判決規費減半</t>
  </si>
  <si>
    <t>共有人姓名</t>
  </si>
  <si>
    <t>已繳測量費</t>
  </si>
  <si>
    <t>溢繳測量費</t>
  </si>
  <si>
    <t>欠繳測量費</t>
  </si>
  <si>
    <t>劉玉英</t>
  </si>
  <si>
    <t>欠繳</t>
  </si>
  <si>
    <t>劉玉美</t>
  </si>
  <si>
    <t>劉玉春</t>
  </si>
  <si>
    <t>劉筱帆</t>
  </si>
  <si>
    <t>費用總計</t>
    <phoneticPr fontId="1" type="noConversion"/>
  </si>
  <si>
    <t>分割後筆數</t>
    <phoneticPr fontId="1" type="noConversion"/>
  </si>
  <si>
    <t>各筆應繳費用</t>
    <phoneticPr fontId="1" type="noConversion"/>
  </si>
  <si>
    <t>應有(分子)</t>
    <phoneticPr fontId="1" type="noConversion"/>
  </si>
  <si>
    <t>共有(分母)</t>
    <phoneticPr fontId="1" type="noConversion"/>
  </si>
  <si>
    <t>判決確定共有物分割案號:</t>
    <phoneticPr fontId="1" type="noConversion"/>
  </si>
  <si>
    <t>差額(由申請人負擔)</t>
    <phoneticPr fontId="1" type="noConversion"/>
  </si>
  <si>
    <t>備註</t>
    <phoneticPr fontId="1" type="noConversion"/>
  </si>
  <si>
    <t>申請人</t>
    <phoneticPr fontId="1" type="noConversion"/>
  </si>
  <si>
    <t>114年通數土字第00000號</t>
    <phoneticPr fontId="1" type="noConversion"/>
  </si>
  <si>
    <t>已計算</t>
    <phoneticPr fontId="1" type="noConversion"/>
  </si>
  <si>
    <t>根據中華民國 114 年 7 月 17 日（星期四）上午 10 時「研商登記機關受理囑託非屬建築物之位置與面積測量及部分共有人申辦共有物分割複丈案件之收費原則事宜」會議紀錄</t>
    <phoneticPr fontId="1" type="noConversion"/>
  </si>
  <si>
    <t>議題二：部分共有人持法院確定判決、和解、調解筆錄文件或調處結果，逕向登記機關申辦共有土地分割，其應納土地複丈費與未會同人之計帳數額作業原則。</t>
    <phoneticPr fontId="1" type="noConversion"/>
  </si>
  <si>
    <t>(二) 未會同申請共有土地分割之共有人，依據本部 90 年 6 月 22 日台（90）內地字第 9073215 號函註記欠繳複丈費。</t>
  </si>
  <si>
    <t>依據及其他備註</t>
    <phoneticPr fontId="1" type="noConversion"/>
  </si>
  <si>
    <t>各宗土地應徵之分割複丈規費（基本費及施測費）依其分割證明文件之分割後土地筆數均分，並由分割後土地所有權人繳納之。</t>
    <phoneticPr fontId="1" type="noConversion"/>
  </si>
  <si>
    <r>
      <t>如分割後維持共有狀態之土地地號，</t>
    </r>
    <r>
      <rPr>
        <b/>
        <sz val="14"/>
        <color theme="1"/>
        <rFont val="微軟正黑體"/>
        <family val="2"/>
        <charset val="136"/>
      </rPr>
      <t>再依各共有人持分比例分算應繳規費</t>
    </r>
    <r>
      <rPr>
        <sz val="14"/>
        <color theme="1"/>
        <rFont val="微軟正黑體"/>
        <family val="2"/>
        <charset val="136"/>
      </rPr>
      <t>。</t>
    </r>
    <phoneticPr fontId="1" type="noConversion"/>
  </si>
  <si>
    <r>
      <t>計算採無條件捨去法</t>
    </r>
    <r>
      <rPr>
        <b/>
        <sz val="14"/>
        <color theme="1"/>
        <rFont val="微軟正黑體"/>
        <family val="2"/>
        <charset val="136"/>
      </rPr>
      <t>至整數</t>
    </r>
    <r>
      <rPr>
        <sz val="14"/>
        <color theme="1"/>
        <rFont val="微軟正黑體"/>
        <family val="2"/>
        <charset val="136"/>
      </rPr>
      <t>，</t>
    </r>
    <r>
      <rPr>
        <b/>
        <sz val="14"/>
        <color theme="1"/>
        <rFont val="微軟正黑體"/>
        <family val="2"/>
        <charset val="136"/>
      </rPr>
      <t>餘數部分由申請人繳納</t>
    </r>
    <r>
      <rPr>
        <sz val="14"/>
        <color theme="1"/>
        <rFont val="微軟正黑體"/>
        <family val="2"/>
        <charset val="136"/>
      </rPr>
      <t>。</t>
    </r>
    <phoneticPr fontId="1" type="noConversion"/>
  </si>
  <si>
    <r>
      <rPr>
        <b/>
        <sz val="14"/>
        <color theme="1"/>
        <rFont val="微軟正黑體"/>
        <family val="2"/>
        <charset val="136"/>
      </rPr>
      <t>確定分割界址點費用由申請人繳納</t>
    </r>
    <r>
      <rPr>
        <sz val="14"/>
        <color theme="1"/>
        <rFont val="微軟正黑體"/>
        <family val="2"/>
        <charset val="136"/>
      </rPr>
      <t>。</t>
    </r>
    <phoneticPr fontId="1" type="noConversion"/>
  </si>
  <si>
    <t xml:space="preserve">(一) 依部分共有人持法院確定判決、和解、調解筆錄文件或不動產糾紛調處委員會之調處結果，向登記機關申辦共有土地分割，除申請案附上開分割證明文件中已載明土地複丈費繳納方式或申請人願繳納全額複丈費外，各共有人應繳納之土地複丈費依下列方式：
</t>
    <phoneticPr fontId="1" type="noConversion"/>
  </si>
  <si>
    <r>
      <t>備註2.如分割後仍維持公同共有之土地(如判決書上多條人名共同分配一筆者)，則</t>
    </r>
    <r>
      <rPr>
        <b/>
        <sz val="14"/>
        <color theme="1"/>
        <rFont val="微軟正黑體"/>
        <family val="2"/>
        <charset val="136"/>
      </rPr>
      <t>直接填入一欄計算</t>
    </r>
    <r>
      <rPr>
        <sz val="14"/>
        <color theme="1"/>
        <rFont val="微軟正黑體"/>
        <family val="2"/>
        <charset val="136"/>
      </rPr>
      <t>，切勿分欄填寫以免造成後續登記上之困擾。</t>
    </r>
    <phoneticPr fontId="1" type="noConversion"/>
  </si>
  <si>
    <t>備註1.確定點之費用並未列入清冊計算需自行增加。</t>
    <phoneticPr fontId="1" type="noConversion"/>
  </si>
  <si>
    <r>
      <t>(三) 本部 94 年 2 月 15 日台內地字第 0940003423 號函與前開方式不同，請一併檢討停止適用。</t>
    </r>
    <r>
      <rPr>
        <sz val="14"/>
        <color rgb="FFFF0000"/>
        <rFont val="微軟正黑體"/>
        <family val="2"/>
        <charset val="136"/>
      </rPr>
      <t>(115.3.23查詢時該函並未廢止)</t>
    </r>
    <phoneticPr fontId="1" type="noConversion"/>
  </si>
  <si>
    <t>應繳測量費</t>
    <phoneticPr fontId="1" type="noConversion"/>
  </si>
  <si>
    <r>
      <t>備註3.</t>
    </r>
    <r>
      <rPr>
        <b/>
        <sz val="14"/>
        <color theme="1"/>
        <rFont val="微軟正黑體"/>
        <family val="2"/>
        <charset val="136"/>
      </rPr>
      <t>粗體字是公式，不要改動</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</si>
</sst>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6"/>
      <color theme="1"/>
      <name val="微軟正黑體"/>
      <family val="2"/>
      <charset val="136"/>
    </font>
    <font>
      <b/>
      <sz val="12"/>
      <color theme="1"/>
      <name val="微軟正黑體"/>
      <family val="2"/>
      <charset val="136"/>
    </font>
    <font>
      <b/>
      <sz val="14"/>
      <color theme="1"/>
      <name val="微軟正黑體"/>
      <family val="2"/>
      <charset val="136"/>
    </font>
    <font>
      <sz val="14"/>
      <color theme="1"/>
      <name val="微軟正黑體"/>
      <family val="2"/>
      <charset val="136"/>
    </font>
    <font>
      <sz val="14"/>
      <color rgb="FFFF0000"/>
      <name val="微軟正黑體"/>
      <family val="2"/>
      <charset val="136"/>
    </font>
  </fonts>
  <fills count="2">
    <fill>
      <patternFill patternType="none"/>
    </fill>
    <fill>
      <patternFill patternType="gray125"/>
    </fill>
  </fills>
  <borders count="2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s>
  <cellStyleXfs count="1">
    <xf numFmtId="0" fontId="0" fillId="0" borderId="0">
      <alignment vertical="center"/>
    </xf>
  </cellStyleXfs>
  <cellXfs count="38">
    <xf numFmtId="0" fontId="0" fillId="0" borderId="0" xfId="0">
      <alignment vertical="center"/>
    </xf>
    <xf numFmtId="0" fontId="2" fillId="0" borderId="4" xfId="0" applyFont="1" applyBorder="1" applyProtection="1">
      <alignment vertical="center"/>
      <protection locked="0"/>
    </xf>
    <xf numFmtId="0" fontId="2" fillId="0" borderId="0" xfId="0" applyFont="1" applyProtection="1">
      <alignment vertical="center"/>
      <protection locked="0"/>
    </xf>
    <xf numFmtId="0" fontId="2" fillId="0" borderId="6" xfId="0" applyFont="1" applyBorder="1" applyProtection="1">
      <alignment vertical="center"/>
      <protection locked="0"/>
    </xf>
    <xf numFmtId="0" fontId="0" fillId="0" borderId="0" xfId="0" applyProtection="1">
      <alignment vertical="center"/>
      <protection locked="0"/>
    </xf>
    <xf numFmtId="0" fontId="4" fillId="0" borderId="1" xfId="0" applyFont="1" applyBorder="1" applyProtection="1">
      <alignment vertical="center"/>
      <protection locked="0"/>
    </xf>
    <xf numFmtId="0" fontId="2" fillId="0" borderId="2" xfId="0" applyFont="1" applyBorder="1" applyProtection="1">
      <alignment vertical="center"/>
      <protection locked="0"/>
    </xf>
    <xf numFmtId="0" fontId="2" fillId="0" borderId="3" xfId="0" applyFont="1" applyBorder="1" applyProtection="1">
      <alignment vertical="center"/>
      <protection locked="0"/>
    </xf>
    <xf numFmtId="0" fontId="2" fillId="0" borderId="5" xfId="0" applyFont="1" applyBorder="1" applyProtection="1">
      <alignment vertical="center"/>
      <protection locked="0"/>
    </xf>
    <xf numFmtId="0" fontId="2" fillId="0" borderId="7" xfId="0" applyFont="1" applyBorder="1" applyProtection="1">
      <alignment vertical="center"/>
      <protection locked="0"/>
    </xf>
    <xf numFmtId="0" fontId="2" fillId="0" borderId="8" xfId="0" applyFont="1" applyBorder="1" applyProtection="1">
      <alignment vertical="center"/>
      <protection locked="0"/>
    </xf>
    <xf numFmtId="0" fontId="2" fillId="0" borderId="10" xfId="0" applyFont="1" applyBorder="1" applyProtection="1">
      <alignment vertical="center"/>
      <protection locked="0"/>
    </xf>
    <xf numFmtId="0" fontId="2" fillId="0" borderId="9" xfId="0" applyFont="1" applyBorder="1" applyProtection="1">
      <alignment vertical="center"/>
      <protection locked="0"/>
    </xf>
    <xf numFmtId="0" fontId="2" fillId="0" borderId="11" xfId="0" applyFont="1" applyBorder="1" applyProtection="1">
      <alignment vertical="center"/>
      <protection locked="0"/>
    </xf>
    <xf numFmtId="0" fontId="2" fillId="0" borderId="12" xfId="0" applyFont="1" applyBorder="1" applyProtection="1">
      <alignment vertical="center"/>
      <protection locked="0"/>
    </xf>
    <xf numFmtId="0" fontId="2" fillId="0" borderId="13" xfId="0" applyFont="1" applyBorder="1" applyProtection="1">
      <alignment vertical="center"/>
      <protection locked="0"/>
    </xf>
    <xf numFmtId="0" fontId="2" fillId="0" borderId="14" xfId="0" applyFont="1" applyBorder="1" applyProtection="1">
      <alignment vertical="center"/>
      <protection locked="0"/>
    </xf>
    <xf numFmtId="0" fontId="2" fillId="0" borderId="15" xfId="0" applyFont="1" applyBorder="1" applyProtection="1">
      <alignment vertical="center"/>
      <protection locked="0"/>
    </xf>
    <xf numFmtId="0" fontId="2" fillId="0" borderId="17" xfId="0" applyFont="1" applyBorder="1" applyProtection="1">
      <alignment vertical="center"/>
      <protection locked="0"/>
    </xf>
    <xf numFmtId="0" fontId="2" fillId="0" borderId="18" xfId="0" applyFont="1" applyBorder="1" applyProtection="1">
      <alignment vertical="center"/>
      <protection locked="0"/>
    </xf>
    <xf numFmtId="0" fontId="2" fillId="0" borderId="19" xfId="0" applyFont="1" applyBorder="1" applyProtection="1">
      <alignment vertical="center"/>
      <protection locked="0"/>
    </xf>
    <xf numFmtId="0" fontId="5" fillId="0" borderId="1" xfId="0" applyFont="1" applyBorder="1" applyProtection="1">
      <alignment vertical="center"/>
      <protection locked="0"/>
    </xf>
    <xf numFmtId="0" fontId="5" fillId="0" borderId="16" xfId="0" applyFont="1" applyBorder="1" applyAlignment="1" applyProtection="1">
      <alignment horizontal="left" vertical="center"/>
      <protection locked="0"/>
    </xf>
    <xf numFmtId="0" fontId="6" fillId="0" borderId="0" xfId="0" applyFont="1">
      <alignment vertical="center"/>
    </xf>
    <xf numFmtId="0" fontId="6" fillId="0" borderId="0" xfId="0" applyFont="1" applyAlignment="1">
      <alignment horizontal="left" vertical="center" indent="1"/>
    </xf>
    <xf numFmtId="0" fontId="6" fillId="0" borderId="0" xfId="0" applyFont="1" applyAlignment="1">
      <alignment horizontal="left" vertical="center" wrapText="1" indent="1"/>
    </xf>
    <xf numFmtId="0" fontId="6" fillId="0" borderId="0" xfId="0" applyFont="1" applyAlignment="1">
      <alignment vertical="center" wrapText="1"/>
    </xf>
    <xf numFmtId="0" fontId="2" fillId="0" borderId="2" xfId="0" applyFont="1" applyBorder="1" applyAlignment="1" applyProtection="1">
      <alignment horizontal="right" vertical="center"/>
      <protection locked="0"/>
    </xf>
    <xf numFmtId="0" fontId="2" fillId="0" borderId="20" xfId="0" applyFont="1" applyBorder="1" applyProtection="1">
      <alignment vertical="center"/>
      <protection locked="0"/>
    </xf>
    <xf numFmtId="0" fontId="2" fillId="0" borderId="21" xfId="0" applyFont="1" applyBorder="1" applyProtection="1">
      <alignment vertical="center"/>
      <protection locked="0"/>
    </xf>
    <xf numFmtId="0" fontId="2" fillId="0" borderId="22" xfId="0" applyFont="1" applyBorder="1" applyProtection="1">
      <alignment vertical="center"/>
      <protection locked="0"/>
    </xf>
    <xf numFmtId="0" fontId="4" fillId="0" borderId="7" xfId="0" applyFont="1" applyBorder="1">
      <alignment vertical="center"/>
    </xf>
    <xf numFmtId="0" fontId="4" fillId="0" borderId="9" xfId="0" applyFont="1" applyBorder="1" applyProtection="1">
      <alignment vertical="center"/>
      <protection locked="0"/>
    </xf>
    <xf numFmtId="0" fontId="4" fillId="0" borderId="0" xfId="0" applyFont="1" applyProtection="1">
      <alignment vertical="center"/>
      <protection locked="0"/>
    </xf>
    <xf numFmtId="0" fontId="3"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4" fillId="0" borderId="0" xfId="0" applyFont="1" applyAlignment="1">
      <alignment horizontal="center" vertical="center"/>
    </xf>
    <xf numFmtId="0" fontId="6" fillId="0" borderId="0" xfId="0" applyFont="1" applyAlignment="1">
      <alignment vertical="center"/>
    </xf>
  </cellXfs>
  <cellStyles count="1">
    <cellStyle name="一般" xfId="0" builtinId="0"/>
  </cellStyles>
  <dxfs count="45">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border>
      <protection locked="0" hidden="0"/>
    </dxf>
    <dxf>
      <font>
        <b/>
        <i val="0"/>
        <strike val="0"/>
        <condense val="0"/>
        <extend val="0"/>
        <outline val="0"/>
        <shadow val="0"/>
        <u val="none"/>
        <vertAlign val="baseline"/>
        <sz val="12"/>
        <color theme="1"/>
        <name val="微軟正黑體"/>
        <family val="2"/>
        <charset val="136"/>
        <scheme val="none"/>
      </font>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border>
      <protection locked="0" hidden="0"/>
    </dxf>
    <dxf>
      <font>
        <b/>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style="medium">
          <color indexed="64"/>
        </bottom>
      </border>
      <protection locked="0" hidden="0"/>
    </dxf>
    <dxf>
      <font>
        <b/>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style="medium">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medium">
          <color indexed="64"/>
        </left>
        <right style="medium">
          <color indexed="64"/>
        </right>
        <top style="thin">
          <color indexed="64"/>
        </top>
        <bottom style="medium">
          <color indexed="64"/>
        </bottom>
      </border>
    </dxf>
    <dxf>
      <font>
        <b val="0"/>
        <i val="0"/>
        <strike val="0"/>
        <condense val="0"/>
        <extend val="0"/>
        <outline val="0"/>
        <shadow val="0"/>
        <u val="none"/>
        <vertAlign val="baseline"/>
        <sz val="12"/>
        <color theme="1"/>
        <name val="微軟正黑體"/>
        <family val="2"/>
        <charset val="136"/>
        <scheme val="none"/>
      </font>
      <protection locked="0" hidden="0"/>
    </dxf>
    <dxf>
      <border outline="0">
        <bottom style="thin">
          <color indexed="64"/>
        </bottom>
      </border>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bottom/>
      </border>
      <protection locked="0" hidden="0"/>
    </dxf>
    <dxf>
      <font>
        <strike val="0"/>
        <outline val="0"/>
        <shadow val="0"/>
        <u val="none"/>
        <vertAlign val="baseline"/>
        <sz val="14"/>
        <color theme="1"/>
        <name val="微軟正黑體"/>
        <family val="2"/>
        <charset val="136"/>
        <scheme val="none"/>
      </font>
      <alignment horizontal="general" vertical="center" textRotation="0" wrapText="0" indent="0" justifyLastLine="0" shrinkToFit="0" readingOrder="0"/>
    </dxf>
    <dxf>
      <font>
        <strike val="0"/>
        <outline val="0"/>
        <shadow val="0"/>
        <u val="none"/>
        <vertAlign val="baseline"/>
        <sz val="14"/>
        <color theme="1"/>
        <name val="微軟正黑體"/>
        <family val="2"/>
        <charset val="136"/>
        <scheme val="none"/>
      </font>
      <alignment horizontal="general" vertical="center" textRotation="0" wrapText="0" indent="0" justifyLastLine="0" shrinkToFit="0" readingOrder="0"/>
    </dxf>
    <dxf>
      <font>
        <strike val="0"/>
        <outline val="0"/>
        <shadow val="0"/>
        <u val="none"/>
        <vertAlign val="baseline"/>
        <sz val="14"/>
        <color theme="1"/>
        <name val="微軟正黑體"/>
        <family val="2"/>
        <charset val="136"/>
        <scheme val="none"/>
      </font>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border>
      <protection locked="0" hidden="0"/>
    </dxf>
    <dxf>
      <font>
        <b/>
        <i val="0"/>
        <strike val="0"/>
        <condense val="0"/>
        <extend val="0"/>
        <outline val="0"/>
        <shadow val="0"/>
        <u val="none"/>
        <vertAlign val="baseline"/>
        <sz val="12"/>
        <color theme="1"/>
        <name val="微軟正黑體"/>
        <family val="2"/>
        <charset val="136"/>
        <scheme val="none"/>
      </font>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border>
      <protection locked="0" hidden="0"/>
    </dxf>
    <dxf>
      <font>
        <b/>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style="medium">
          <color indexed="64"/>
        </bottom>
      </border>
      <protection locked="0" hidden="0"/>
    </dxf>
    <dxf>
      <font>
        <b/>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style="medium">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微軟正黑體"/>
        <family val="2"/>
        <charset val="136"/>
        <scheme val="none"/>
      </font>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medium">
          <color indexed="64"/>
        </left>
        <right style="medium">
          <color indexed="64"/>
        </right>
        <top style="thin">
          <color indexed="64"/>
        </top>
        <bottom style="medium">
          <color indexed="64"/>
        </bottom>
      </border>
    </dxf>
    <dxf>
      <font>
        <b val="0"/>
        <i val="0"/>
        <strike val="0"/>
        <condense val="0"/>
        <extend val="0"/>
        <outline val="0"/>
        <shadow val="0"/>
        <u val="none"/>
        <vertAlign val="baseline"/>
        <sz val="12"/>
        <color theme="1"/>
        <name val="微軟正黑體"/>
        <family val="2"/>
        <charset val="136"/>
        <scheme val="none"/>
      </font>
      <protection locked="0" hidden="0"/>
    </dxf>
    <dxf>
      <border outline="0">
        <bottom style="thin">
          <color indexed="64"/>
        </bottom>
      </border>
    </dxf>
    <dxf>
      <font>
        <b val="0"/>
        <i val="0"/>
        <strike val="0"/>
        <condense val="0"/>
        <extend val="0"/>
        <outline val="0"/>
        <shadow val="0"/>
        <u val="none"/>
        <vertAlign val="baseline"/>
        <sz val="12"/>
        <color theme="1"/>
        <name val="微軟正黑體"/>
        <family val="2"/>
        <charset val="136"/>
        <scheme val="none"/>
      </font>
      <border diagonalUp="0" diagonalDown="0" outline="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36F44-D441-4769-9E7A-04C72EEA06F7}" name="表格1_4" displayName="表格1_4" ref="A9:H14" totalsRowCount="1" headerRowDxfId="44" dataDxfId="42" headerRowBorderDxfId="43" tableBorderDxfId="41" totalsRowBorderDxfId="40">
  <autoFilter ref="A9:H13" xr:uid="{2E736F44-D441-4769-9E7A-04C72EEA06F7}"/>
  <tableColumns count="8">
    <tableColumn id="1" xr3:uid="{9C04020D-F40E-458A-9CE6-9E3F9A637E4A}" name="共有人姓名" totalsRowLabel="合計" dataDxfId="39" totalsRowDxfId="38"/>
    <tableColumn id="2" xr3:uid="{8BFB5AEE-C2F2-4B55-A9DA-9F1329458F2C}" name="共有(分母)" dataDxfId="37" totalsRowDxfId="36"/>
    <tableColumn id="3" xr3:uid="{20694CF6-A059-46CF-BA30-6B741E6E3893}" name="應有(分子)" totalsRowFunction="custom" dataDxfId="35" totalsRowDxfId="34">
      <totalsRowFormula>SUM(C10:C13)/B10</totalsRowFormula>
    </tableColumn>
    <tableColumn id="4" xr3:uid="{3CC90095-E59D-4CD1-91BA-54A7852D0C4E}" name="應繳測量費" totalsRowFunction="sum" dataDxfId="33" totalsRowDxfId="32">
      <calculatedColumnFormula>ROUNDDOWN(清冊!$B$6/表格1_4[[#This Row],[共有(分母)]]*表格1_4[[#This Row],[應有(分子)]],0)</calculatedColumnFormula>
    </tableColumn>
    <tableColumn id="5" xr3:uid="{FC7FBF7D-83C5-4D1C-AB84-687FC963673B}" name="已繳測量費" dataDxfId="31" totalsRowDxfId="30"/>
    <tableColumn id="6" xr3:uid="{5C20F0C2-E89A-4AD1-A078-E35A814FF05F}" name="溢繳測量費" dataDxfId="29" totalsRowDxfId="28">
      <calculatedColumnFormula>IF(H10="申請人",表格1_4[[#This Row],[已繳測量費]]-表格1_4[[#This Row],[應繳測量費]]-清冊!$E$6,"")</calculatedColumnFormula>
    </tableColumn>
    <tableColumn id="7" xr3:uid="{C0DA2057-B3F8-48CC-81CA-1CFE7118C893}" name="欠繳測量費" dataDxfId="27" totalsRowDxfId="26"/>
    <tableColumn id="8" xr3:uid="{779A8C1D-1DFF-4E51-85ED-EC4B55E6EA0F}" name="備註" dataDxfId="25" totalsRowDxfId="2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2C6B5C-6189-4404-A482-5C50705EAF3B}" name="表格2" displayName="表格2" ref="A1:A13" totalsRowShown="0" headerRowDxfId="23" dataDxfId="22">
  <autoFilter ref="A1:A13" xr:uid="{002C6B5C-6189-4404-A482-5C50705EAF3B}"/>
  <tableColumns count="1">
    <tableColumn id="1" xr3:uid="{9DEA3373-9230-4DBC-A434-A19E75F76738}" name="依據及其他備註"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18E3F8-3F0A-42AC-AE89-7108B41BAA17}" name="表格1" displayName="表格1" ref="A2:H7" totalsRowCount="1" headerRowDxfId="20" dataDxfId="18" headerRowBorderDxfId="19" tableBorderDxfId="17" totalsRowBorderDxfId="16">
  <autoFilter ref="A2:H6" xr:uid="{6518E3F8-3F0A-42AC-AE89-7108B41BAA17}"/>
  <tableColumns count="8">
    <tableColumn id="1" xr3:uid="{3EDFA32C-CBA6-4C77-B50F-F309575A346F}" name="共有人姓名" totalsRowLabel="合計" dataDxfId="15" totalsRowDxfId="14"/>
    <tableColumn id="2" xr3:uid="{608571E4-AB73-4BBF-AF98-594A3DE426D4}" name="共有(分母)" dataDxfId="13" totalsRowDxfId="12"/>
    <tableColumn id="3" xr3:uid="{FB0FD140-16C6-4CE5-9C26-EEC5ADA0C701}" name="應有(分子)" totalsRowFunction="custom" dataDxfId="11" totalsRowDxfId="10">
      <totalsRowFormula>SUM(C3:C6)/B3</totalsRowFormula>
    </tableColumn>
    <tableColumn id="4" xr3:uid="{B18A75CE-2A01-44A6-8384-8A22D92A16BB}" name="應繳測量費" totalsRowFunction="sum" dataDxfId="9" totalsRowDxfId="8">
      <calculatedColumnFormula>ROUNDDOWN(清冊!$B$6/表格1[[#This Row],[共有(分母)]]*表格1[[#This Row],[應有(分子)]],0)</calculatedColumnFormula>
    </tableColumn>
    <tableColumn id="5" xr3:uid="{CAC8CAF1-60AB-46F4-A34F-EF7F71C5466B}" name="已繳測量費" dataDxfId="7" totalsRowDxfId="6"/>
    <tableColumn id="6" xr3:uid="{E2425EB4-4EFC-4C4E-97B7-0B25C6A3BF94}" name="溢繳測量費" dataDxfId="5" totalsRowDxfId="4"/>
    <tableColumn id="7" xr3:uid="{97E10D00-96B9-4341-BCAD-26D7C7A66653}" name="欠繳測量費" dataDxfId="3" totalsRowDxfId="2"/>
    <tableColumn id="8" xr3:uid="{329F3C86-B8C0-4E6C-9F77-3172B68DF7DF}" name="備註" dataDxfId="1" totalsRowDxfId="0"/>
  </tableColumns>
  <tableStyleInfo name="TableStyleLight1"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B5229-4069-49F8-B4A2-0A0C980B0279}">
  <sheetPr codeName="工作表1"/>
  <dimension ref="A1:H14"/>
  <sheetViews>
    <sheetView tabSelected="1" workbookViewId="0">
      <selection activeCell="G5" sqref="G5"/>
    </sheetView>
  </sheetViews>
  <sheetFormatPr defaultRowHeight="16.5" x14ac:dyDescent="0.25"/>
  <cols>
    <col min="1" max="1" width="12.75" customWidth="1"/>
    <col min="2" max="3" width="12.25" customWidth="1"/>
    <col min="4" max="7" width="12.75" customWidth="1"/>
    <col min="8" max="8" width="10.375" customWidth="1"/>
  </cols>
  <sheetData>
    <row r="1" spans="1:8" s="4" customFormat="1" ht="21" thickBot="1" x14ac:dyDescent="0.3">
      <c r="A1" s="34" t="s">
        <v>19</v>
      </c>
      <c r="B1" s="34"/>
      <c r="C1" s="34"/>
      <c r="D1" s="34" t="s">
        <v>23</v>
      </c>
      <c r="E1" s="34"/>
      <c r="F1" s="34"/>
      <c r="G1" s="34"/>
      <c r="H1" s="34"/>
    </row>
    <row r="2" spans="1:8" s="4" customFormat="1" x14ac:dyDescent="0.25">
      <c r="A2" s="5" t="s">
        <v>14</v>
      </c>
      <c r="B2" s="6"/>
      <c r="C2" s="6"/>
      <c r="D2" s="27"/>
      <c r="E2" s="6"/>
      <c r="F2" s="7"/>
      <c r="G2" s="2"/>
      <c r="H2" s="2"/>
    </row>
    <row r="3" spans="1:8" s="4" customFormat="1" x14ac:dyDescent="0.25">
      <c r="A3" s="1" t="s">
        <v>1</v>
      </c>
      <c r="B3" s="2" t="s">
        <v>2</v>
      </c>
      <c r="C3" s="2" t="s">
        <v>3</v>
      </c>
      <c r="D3" s="35" t="s">
        <v>4</v>
      </c>
      <c r="E3" s="35"/>
      <c r="F3" s="8"/>
      <c r="G3" s="2"/>
      <c r="H3" s="2"/>
    </row>
    <row r="4" spans="1:8" s="4" customFormat="1" x14ac:dyDescent="0.25">
      <c r="A4" s="1">
        <v>3000</v>
      </c>
      <c r="B4" s="2">
        <v>1500</v>
      </c>
      <c r="C4" s="33">
        <f>A4+B4</f>
        <v>4500</v>
      </c>
      <c r="D4" s="36">
        <f>C4/2</f>
        <v>2250</v>
      </c>
      <c r="E4" s="36"/>
      <c r="F4" s="8"/>
      <c r="G4" s="2"/>
      <c r="H4" s="2"/>
    </row>
    <row r="5" spans="1:8" s="4" customFormat="1" x14ac:dyDescent="0.25">
      <c r="A5" s="1" t="s">
        <v>15</v>
      </c>
      <c r="B5" s="2" t="s">
        <v>16</v>
      </c>
      <c r="C5" s="2"/>
      <c r="D5" s="2" t="s">
        <v>24</v>
      </c>
      <c r="E5" s="2" t="s">
        <v>20</v>
      </c>
      <c r="F5" s="8"/>
      <c r="G5" s="2"/>
      <c r="H5" s="2"/>
    </row>
    <row r="6" spans="1:8" s="4" customFormat="1" ht="17.25" thickBot="1" x14ac:dyDescent="0.3">
      <c r="A6" s="3">
        <v>1</v>
      </c>
      <c r="B6" s="31">
        <f>D4/A6</f>
        <v>2250</v>
      </c>
      <c r="C6" s="9"/>
      <c r="D6" s="31">
        <f>SUMIF(A:A, "合計", D:D)</f>
        <v>2248</v>
      </c>
      <c r="E6" s="31">
        <f>D4-D6</f>
        <v>2</v>
      </c>
      <c r="F6" s="10"/>
      <c r="G6" s="2"/>
      <c r="H6" s="2"/>
    </row>
    <row r="7" spans="1:8" ht="17.25" thickBot="1" x14ac:dyDescent="0.3"/>
    <row r="8" spans="1:8" ht="18.75" x14ac:dyDescent="0.25">
      <c r="A8" s="21" t="s">
        <v>0</v>
      </c>
      <c r="B8" s="22">
        <v>566</v>
      </c>
      <c r="C8" s="6"/>
      <c r="D8" s="20"/>
      <c r="E8" s="6"/>
      <c r="F8" s="18"/>
      <c r="G8" s="18"/>
      <c r="H8" s="19"/>
    </row>
    <row r="9" spans="1:8" x14ac:dyDescent="0.25">
      <c r="A9" s="16" t="s">
        <v>5</v>
      </c>
      <c r="B9" s="15" t="s">
        <v>18</v>
      </c>
      <c r="C9" s="15" t="s">
        <v>17</v>
      </c>
      <c r="D9" s="15" t="s">
        <v>37</v>
      </c>
      <c r="E9" s="15" t="s">
        <v>6</v>
      </c>
      <c r="F9" s="15" t="s">
        <v>7</v>
      </c>
      <c r="G9" s="15" t="s">
        <v>8</v>
      </c>
      <c r="H9" s="17" t="s">
        <v>21</v>
      </c>
    </row>
    <row r="10" spans="1:8" x14ac:dyDescent="0.25">
      <c r="A10" s="11" t="s">
        <v>9</v>
      </c>
      <c r="B10" s="12">
        <v>4</v>
      </c>
      <c r="C10" s="12">
        <v>1</v>
      </c>
      <c r="D10" s="32">
        <f>ROUNDDOWN(清冊!$B$6/表格1_4[[#This Row],[共有(分母)]]*表格1_4[[#This Row],[應有(分子)]],0)</f>
        <v>562</v>
      </c>
      <c r="E10" s="12"/>
      <c r="F10" s="32" t="str">
        <f>IF(H10="申請人",表格1_4[[#This Row],[已繳測量費]]-表格1_4[[#This Row],[應繳測量費]]-清冊!$E$6,"")</f>
        <v/>
      </c>
      <c r="G10" s="32">
        <f>D10-E10</f>
        <v>562</v>
      </c>
      <c r="H10" s="13" t="s">
        <v>10</v>
      </c>
    </row>
    <row r="11" spans="1:8" x14ac:dyDescent="0.25">
      <c r="A11" s="11" t="s">
        <v>11</v>
      </c>
      <c r="B11" s="12">
        <v>4</v>
      </c>
      <c r="C11" s="12">
        <v>1</v>
      </c>
      <c r="D11" s="32">
        <f>ROUNDDOWN(清冊!$B$6/表格1_4[[#This Row],[共有(分母)]]*表格1_4[[#This Row],[應有(分子)]],0)</f>
        <v>562</v>
      </c>
      <c r="E11" s="12">
        <v>3500</v>
      </c>
      <c r="F11" s="32">
        <f>IF(H11="申請人",表格1_4[[#This Row],[已繳測量費]]-表格1_4[[#This Row],[應繳測量費]]-清冊!$E$6,"")</f>
        <v>2936</v>
      </c>
      <c r="G11" s="32"/>
      <c r="H11" s="13" t="s">
        <v>22</v>
      </c>
    </row>
    <row r="12" spans="1:8" x14ac:dyDescent="0.25">
      <c r="A12" s="11" t="s">
        <v>12</v>
      </c>
      <c r="B12" s="12">
        <v>4</v>
      </c>
      <c r="C12" s="12">
        <v>1</v>
      </c>
      <c r="D12" s="32">
        <f>ROUNDDOWN(清冊!$B$6/表格1_4[[#This Row],[共有(分母)]]*表格1_4[[#This Row],[應有(分子)]],0)</f>
        <v>562</v>
      </c>
      <c r="E12" s="12">
        <v>0</v>
      </c>
      <c r="F12" s="32" t="str">
        <f>IF(H12="申請人",表格1_4[[#This Row],[已繳測量費]]-表格1_4[[#This Row],[應繳測量費]]-清冊!$E$6,"")</f>
        <v/>
      </c>
      <c r="G12" s="32">
        <f>D12-E12</f>
        <v>562</v>
      </c>
      <c r="H12" s="13" t="s">
        <v>10</v>
      </c>
    </row>
    <row r="13" spans="1:8" x14ac:dyDescent="0.25">
      <c r="A13" s="11" t="s">
        <v>13</v>
      </c>
      <c r="B13" s="12">
        <v>4</v>
      </c>
      <c r="C13" s="12">
        <v>1</v>
      </c>
      <c r="D13" s="32">
        <f>ROUNDDOWN(清冊!$B$6/表格1_4[[#This Row],[共有(分母)]]*表格1_4[[#This Row],[應有(分子)]],0)</f>
        <v>562</v>
      </c>
      <c r="E13" s="12">
        <v>0</v>
      </c>
      <c r="F13" s="32" t="str">
        <f>IF(H13="申請人",表格1_4[[#This Row],[已繳測量費]]-表格1_4[[#This Row],[應繳測量費]]-清冊!$E$6,"")</f>
        <v/>
      </c>
      <c r="G13" s="32">
        <f>D13-E13</f>
        <v>562</v>
      </c>
      <c r="H13" s="13" t="s">
        <v>10</v>
      </c>
    </row>
    <row r="14" spans="1:8" ht="17.25" thickBot="1" x14ac:dyDescent="0.3">
      <c r="A14" s="29" t="s">
        <v>3</v>
      </c>
      <c r="B14" s="28"/>
      <c r="C14" s="14">
        <f>SUM(C10:C13)/B10</f>
        <v>1</v>
      </c>
      <c r="D14" s="14">
        <f>SUBTOTAL(109,表格1_4[應繳測量費])</f>
        <v>2248</v>
      </c>
      <c r="E14" s="28"/>
      <c r="F14" s="28"/>
      <c r="G14" s="28"/>
      <c r="H14" s="30"/>
    </row>
  </sheetData>
  <mergeCells count="4">
    <mergeCell ref="D1:H1"/>
    <mergeCell ref="A1:C1"/>
    <mergeCell ref="D3:E3"/>
    <mergeCell ref="D4:E4"/>
  </mergeCells>
  <phoneticPr fontId="1" type="noConversion"/>
  <dataValidations count="1">
    <dataValidation type="list" allowBlank="1" showInputMessage="1" showErrorMessage="1" sqref="H10:H13" xr:uid="{C95716E9-FA25-43E6-BE75-27B40E089F6A}">
      <formula1>"欠繳,申請人"</formula1>
    </dataValidation>
  </dataValidations>
  <pageMargins left="0.25" right="0.25"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4FB87-065A-4821-844B-368BD2EE9B93}">
  <sheetPr codeName="工作表2"/>
  <dimension ref="A1:A13"/>
  <sheetViews>
    <sheetView workbookViewId="0">
      <selection activeCell="A13" sqref="A13"/>
    </sheetView>
  </sheetViews>
  <sheetFormatPr defaultRowHeight="16.5" x14ac:dyDescent="0.25"/>
  <cols>
    <col min="1" max="1" width="255.625" bestFit="1" customWidth="1"/>
  </cols>
  <sheetData>
    <row r="1" spans="1:1" ht="18.75" x14ac:dyDescent="0.25">
      <c r="A1" s="23" t="s">
        <v>28</v>
      </c>
    </row>
    <row r="2" spans="1:1" ht="18.75" x14ac:dyDescent="0.25">
      <c r="A2" s="23" t="s">
        <v>25</v>
      </c>
    </row>
    <row r="3" spans="1:1" ht="18.75" x14ac:dyDescent="0.25">
      <c r="A3" s="23" t="s">
        <v>26</v>
      </c>
    </row>
    <row r="4" spans="1:1" ht="56.25" x14ac:dyDescent="0.25">
      <c r="A4" s="26" t="s">
        <v>33</v>
      </c>
    </row>
    <row r="5" spans="1:1" ht="18.75" x14ac:dyDescent="0.25">
      <c r="A5" s="24" t="s">
        <v>29</v>
      </c>
    </row>
    <row r="6" spans="1:1" ht="18.75" x14ac:dyDescent="0.25">
      <c r="A6" s="24" t="s">
        <v>30</v>
      </c>
    </row>
    <row r="7" spans="1:1" ht="18.75" x14ac:dyDescent="0.25">
      <c r="A7" s="24" t="s">
        <v>31</v>
      </c>
    </row>
    <row r="8" spans="1:1" ht="18.75" x14ac:dyDescent="0.25">
      <c r="A8" s="25" t="s">
        <v>32</v>
      </c>
    </row>
    <row r="9" spans="1:1" ht="18.75" x14ac:dyDescent="0.25">
      <c r="A9" s="23" t="s">
        <v>27</v>
      </c>
    </row>
    <row r="10" spans="1:1" ht="18.75" x14ac:dyDescent="0.25">
      <c r="A10" s="23" t="s">
        <v>36</v>
      </c>
    </row>
    <row r="11" spans="1:1" ht="18.75" x14ac:dyDescent="0.25">
      <c r="A11" s="23" t="s">
        <v>35</v>
      </c>
    </row>
    <row r="12" spans="1:1" ht="18.75" x14ac:dyDescent="0.25">
      <c r="A12" s="23" t="s">
        <v>34</v>
      </c>
    </row>
    <row r="13" spans="1:1" ht="18.75" x14ac:dyDescent="0.25">
      <c r="A13" s="37" t="s">
        <v>38</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24AF6-94B5-441E-83C3-5DF1281D3DC1}">
  <sheetPr codeName="工作表3"/>
  <dimension ref="A1:H7"/>
  <sheetViews>
    <sheetView workbookViewId="0">
      <selection activeCell="E5" sqref="E5"/>
    </sheetView>
  </sheetViews>
  <sheetFormatPr defaultRowHeight="16.5" x14ac:dyDescent="0.25"/>
  <cols>
    <col min="6" max="6" width="10" bestFit="1" customWidth="1"/>
  </cols>
  <sheetData>
    <row r="1" spans="1:8" ht="18.75" x14ac:dyDescent="0.25">
      <c r="A1" s="21" t="s">
        <v>0</v>
      </c>
      <c r="B1" s="22">
        <v>566</v>
      </c>
      <c r="C1" s="6"/>
      <c r="D1" s="20"/>
      <c r="E1" s="6"/>
      <c r="F1" s="18"/>
      <c r="G1" s="18"/>
      <c r="H1" s="19"/>
    </row>
    <row r="2" spans="1:8" x14ac:dyDescent="0.25">
      <c r="A2" s="16" t="s">
        <v>5</v>
      </c>
      <c r="B2" s="15" t="s">
        <v>18</v>
      </c>
      <c r="C2" s="15" t="s">
        <v>17</v>
      </c>
      <c r="D2" s="15" t="s">
        <v>37</v>
      </c>
      <c r="E2" s="15" t="s">
        <v>6</v>
      </c>
      <c r="F2" s="15" t="s">
        <v>7</v>
      </c>
      <c r="G2" s="15" t="s">
        <v>8</v>
      </c>
      <c r="H2" s="17" t="s">
        <v>21</v>
      </c>
    </row>
    <row r="3" spans="1:8" x14ac:dyDescent="0.25">
      <c r="A3" s="11" t="s">
        <v>9</v>
      </c>
      <c r="B3" s="12">
        <v>4</v>
      </c>
      <c r="C3" s="12">
        <v>1</v>
      </c>
      <c r="D3" s="32">
        <f>ROUNDDOWN(清冊!$B$6/表格1[[#This Row],[共有(分母)]]*表格1[[#This Row],[應有(分子)]],0)</f>
        <v>562</v>
      </c>
      <c r="E3" s="12"/>
      <c r="F3" s="32" t="str">
        <f>IF(H3="申請人",表格1[[#This Row],[已繳測量費]]-表格1[[#This Row],[應繳測量費]]-清冊!$E$6,"")</f>
        <v/>
      </c>
      <c r="G3" s="32">
        <f>D3-E3</f>
        <v>562</v>
      </c>
      <c r="H3" s="13" t="s">
        <v>10</v>
      </c>
    </row>
    <row r="4" spans="1:8" x14ac:dyDescent="0.25">
      <c r="A4" s="11" t="s">
        <v>11</v>
      </c>
      <c r="B4" s="12">
        <v>4</v>
      </c>
      <c r="C4" s="12">
        <v>1</v>
      </c>
      <c r="D4" s="32">
        <f>ROUNDDOWN(清冊!$B$6/表格1[[#This Row],[共有(分母)]]*表格1[[#This Row],[應有(分子)]],0)</f>
        <v>562</v>
      </c>
      <c r="E4" s="12">
        <v>3500</v>
      </c>
      <c r="F4" s="32">
        <f>IF(H4="申請人",表格1[[#This Row],[已繳測量費]]-表格1[[#This Row],[應繳測量費]]-清冊!$E$6,"")</f>
        <v>2936</v>
      </c>
      <c r="G4" s="32"/>
      <c r="H4" s="13" t="s">
        <v>22</v>
      </c>
    </row>
    <row r="5" spans="1:8" x14ac:dyDescent="0.25">
      <c r="A5" s="11" t="s">
        <v>12</v>
      </c>
      <c r="B5" s="12">
        <v>4</v>
      </c>
      <c r="C5" s="12">
        <v>1</v>
      </c>
      <c r="D5" s="32">
        <f>ROUNDDOWN(清冊!$B$6/表格1[[#This Row],[共有(分母)]]*表格1[[#This Row],[應有(分子)]],0)</f>
        <v>562</v>
      </c>
      <c r="E5" s="12">
        <v>0</v>
      </c>
      <c r="F5" s="32" t="str">
        <f>IF(H5="申請人",表格1[[#This Row],[已繳測量費]]-表格1[[#This Row],[應繳測量費]]-清冊!$E$6,"")</f>
        <v/>
      </c>
      <c r="G5" s="32">
        <f>D5-E5</f>
        <v>562</v>
      </c>
      <c r="H5" s="13" t="s">
        <v>10</v>
      </c>
    </row>
    <row r="6" spans="1:8" x14ac:dyDescent="0.25">
      <c r="A6" s="11" t="s">
        <v>13</v>
      </c>
      <c r="B6" s="12">
        <v>4</v>
      </c>
      <c r="C6" s="12">
        <v>1</v>
      </c>
      <c r="D6" s="32">
        <f>ROUNDDOWN(清冊!$B$6/表格1[[#This Row],[共有(分母)]]*表格1[[#This Row],[應有(分子)]],0)</f>
        <v>562</v>
      </c>
      <c r="E6" s="12">
        <v>0</v>
      </c>
      <c r="F6" s="32" t="str">
        <f>IF(H6="申請人",表格1[[#This Row],[已繳測量費]]-表格1[[#This Row],[應繳測量費]]-清冊!$E$6,"")</f>
        <v/>
      </c>
      <c r="G6" s="32">
        <f>D6-E6</f>
        <v>562</v>
      </c>
      <c r="H6" s="13" t="s">
        <v>10</v>
      </c>
    </row>
    <row r="7" spans="1:8" ht="17.25" thickBot="1" x14ac:dyDescent="0.3">
      <c r="A7" s="29" t="s">
        <v>3</v>
      </c>
      <c r="B7" s="28"/>
      <c r="C7" s="14">
        <f>SUM(C3:C6)/B3</f>
        <v>1</v>
      </c>
      <c r="D7" s="14">
        <f>SUBTOTAL(109,表格1[應繳測量費])</f>
        <v>2248</v>
      </c>
      <c r="E7" s="28"/>
      <c r="F7" s="28"/>
      <c r="G7" s="28"/>
      <c r="H7" s="30"/>
    </row>
  </sheetData>
  <phoneticPr fontId="1" type="noConversion"/>
  <dataValidations count="1">
    <dataValidation type="list" allowBlank="1" showInputMessage="1" showErrorMessage="1" sqref="H3:H6" xr:uid="{C6259D31-9429-45A2-92AA-55E70809D4DF}">
      <formula1>"欠繳,申請人"</formula1>
    </dataValidation>
  </dataValidations>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具名範圍</vt:lpstr>
      </vt:variant>
      <vt:variant>
        <vt:i4>1</vt:i4>
      </vt:variant>
    </vt:vector>
  </HeadingPairs>
  <TitlesOfParts>
    <vt:vector size="4" baseType="lpstr">
      <vt:lpstr>清冊</vt:lpstr>
      <vt:lpstr>說明</vt:lpstr>
      <vt:lpstr>模板區(勿動)</vt:lpstr>
      <vt:lpstr>MyTemplate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林威帆</dc:creator>
  <cp:lastModifiedBy>林威帆</cp:lastModifiedBy>
  <cp:lastPrinted>2026-04-23T03:48:21Z</cp:lastPrinted>
  <dcterms:created xsi:type="dcterms:W3CDTF">2026-03-20T06:42:34Z</dcterms:created>
  <dcterms:modified xsi:type="dcterms:W3CDTF">2026-04-23T06:43:32Z</dcterms:modified>
</cp:coreProperties>
</file>